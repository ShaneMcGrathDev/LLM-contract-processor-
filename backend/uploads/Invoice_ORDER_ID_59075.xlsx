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2" documentId="8_{D809816F-C2FE-411E-8999-F35FAA9E4E17}" xr6:coauthVersionLast="47" xr6:coauthVersionMax="47" xr10:uidLastSave="{4FC6F227-78F6-42C1-863B-F48AC0594897}"/>
  <bookViews>
    <workbookView xWindow="-108" yWindow="-108" windowWidth="23256" windowHeight="12456" xr2:uid="{00000000-000D-0000-FFFF-FFFF00000000}"/>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G59" i="1"/>
  <c r="G60" i="1"/>
  <c r="G61" i="1" l="1"/>
</calcChain>
</file>

<file path=xl/sharedStrings.xml><?xml version="1.0" encoding="utf-8"?>
<sst xmlns="http://schemas.openxmlformats.org/spreadsheetml/2006/main" count="77" uniqueCount="77">
  <si>
    <t>Description</t>
  </si>
  <si>
    <t>Invoice Subtotal</t>
  </si>
  <si>
    <t>Tax Rate</t>
  </si>
  <si>
    <t>Qty</t>
  </si>
  <si>
    <t>Price</t>
  </si>
  <si>
    <t>Discount</t>
  </si>
  <si>
    <t>Item #</t>
  </si>
  <si>
    <t>345 W Main</t>
  </si>
  <si>
    <t>Los Angeles, CA 14151</t>
  </si>
  <si>
    <t>P: 915-555-0195</t>
  </si>
  <si>
    <t>F: 915-555-0105</t>
  </si>
  <si>
    <t>elegantembrace@example.com</t>
  </si>
  <si>
    <t>Unit price</t>
  </si>
  <si>
    <t>Total due in 90 days. Overdue accounts subject to a service charge of 1.5% per month.</t>
  </si>
  <si>
    <t>INVOICE</t>
  </si>
  <si>
    <t xml:space="preserve"> </t>
  </si>
  <si>
    <t>Embrace</t>
  </si>
  <si>
    <t>Phone:</t>
  </si>
  <si>
    <t>Fax:</t>
  </si>
  <si>
    <t xml:space="preserve">elegantembrace@example.com | www.interestingsite.com	</t>
  </si>
  <si>
    <t>Elegant</t>
  </si>
  <si>
    <t>OrderDate</t>
  </si>
  <si>
    <t>DueDate</t>
  </si>
  <si>
    <t>ShipDate</t>
  </si>
  <si>
    <t>SalesOrderNumber</t>
  </si>
  <si>
    <t>SO59075</t>
  </si>
  <si>
    <t>PurchaseOrderNumber</t>
  </si>
  <si>
    <t>AccountNumber</t>
  </si>
  <si>
    <t>PO9628136689</t>
  </si>
  <si>
    <t>10-4020-000179</t>
  </si>
  <si>
    <t>VE-C304-S</t>
  </si>
  <si>
    <t>LJ-0192-L</t>
  </si>
  <si>
    <t>WB-H098</t>
  </si>
  <si>
    <t>RA-H123</t>
  </si>
  <si>
    <t>HL-U509</t>
  </si>
  <si>
    <t>SJ-0194-L</t>
  </si>
  <si>
    <t>HL-U509-B</t>
  </si>
  <si>
    <t>CL-9009</t>
  </si>
  <si>
    <t>FR-T98Y-54</t>
  </si>
  <si>
    <t>CA-1098</t>
  </si>
  <si>
    <t>SJ-0194-X</t>
  </si>
  <si>
    <t>SE-T924</t>
  </si>
  <si>
    <t>RB-9231</t>
  </si>
  <si>
    <t>BK-T79U-46</t>
  </si>
  <si>
    <t>BK-T79U-60</t>
  </si>
  <si>
    <t>HY-1023-70</t>
  </si>
  <si>
    <t>BK-T79Y-46</t>
  </si>
  <si>
    <t>BK-T79Y-60</t>
  </si>
  <si>
    <t>LJ-0192-M</t>
  </si>
  <si>
    <t>FR-T98U-54</t>
  </si>
  <si>
    <t>GL-H102-S</t>
  </si>
  <si>
    <t>PD-T852</t>
  </si>
  <si>
    <t>BK-T18U-62</t>
  </si>
  <si>
    <t>HL-U509-R</t>
  </si>
  <si>
    <t>VE-C304-M</t>
  </si>
  <si>
    <t>BK-T18Y-54</t>
  </si>
  <si>
    <t>BB-9108</t>
  </si>
  <si>
    <t>RD-2308</t>
  </si>
  <si>
    <t>BK-T44U-54</t>
  </si>
  <si>
    <t>FB-9873</t>
  </si>
  <si>
    <t>GL-H102-M</t>
  </si>
  <si>
    <t>SJ-0194-S</t>
  </si>
  <si>
    <t>BK-T18Y-58</t>
  </si>
  <si>
    <t>BK-T18U-50</t>
  </si>
  <si>
    <t>BK-T18U-54</t>
  </si>
  <si>
    <t>BK-T18Y-50</t>
  </si>
  <si>
    <t>BK-T18Y-62</t>
  </si>
  <si>
    <t>BK-T18Y-44</t>
  </si>
  <si>
    <t>BK-T79Y-50</t>
  </si>
  <si>
    <t>BK-T79U-50</t>
  </si>
  <si>
    <t>BB-7421</t>
  </si>
  <si>
    <t>BK-T44U-60</t>
  </si>
  <si>
    <t>HB-T928</t>
  </si>
  <si>
    <t>CS-4759</t>
  </si>
  <si>
    <t>BK-T44U-46</t>
  </si>
  <si>
    <t>Freight</t>
  </si>
  <si>
    <t>TotalDue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</si>
</sst>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 \ "/>
    <numFmt numFmtId="165" formatCode="#_)"/>
    <numFmt numFmtId="166" formatCode="[&lt;=9999999]###\-####;\(###\)\ ###\-####"/>
    <numFmt numFmtId="167" formatCode="&quot;$&quot;#,##0.00"/>
  </numFmts>
  <fonts count="28" x14ac:knownFonts="1">
    <font>
      <sz val="11"/>
      <color theme="2" tint="-0.749961851863155"/>
      <name val="Garamond"/>
      <family val="2"/>
      <scheme val="minor"/>
    </font>
    <font>
      <sz val="11"/>
      <color theme="1"/>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5" fillId="0" borderId="0" applyNumberFormat="0" applyFill="0" applyBorder="0" applyAlignment="0" applyProtection="0"/>
    <xf numFmtId="0" fontId="10" fillId="0" borderId="0" applyNumberFormat="0" applyFill="0" applyBorder="0" applyProtection="0">
      <alignment vertical="center"/>
    </xf>
    <xf numFmtId="0" fontId="3" fillId="0" borderId="0" applyNumberFormat="0" applyFill="0" applyBorder="0" applyProtection="0">
      <alignment horizontal="left" vertical="center" indent="1"/>
    </xf>
    <xf numFmtId="10" fontId="12" fillId="0" borderId="0" applyFill="0" applyBorder="0" applyProtection="0">
      <alignment horizontal="right" vertical="center"/>
    </xf>
    <xf numFmtId="0" fontId="5" fillId="0" borderId="0" applyNumberFormat="0" applyFill="0" applyBorder="0" applyAlignment="0" applyProtection="0">
      <alignment vertical="top" wrapText="1"/>
    </xf>
    <xf numFmtId="0" fontId="4" fillId="3" borderId="2" applyProtection="0">
      <alignment vertical="center"/>
    </xf>
    <xf numFmtId="0" fontId="5" fillId="2" borderId="0" applyNumberFormat="0" applyBorder="0" applyProtection="0">
      <alignment vertical="center" wrapText="1"/>
    </xf>
    <xf numFmtId="0" fontId="13" fillId="0" borderId="1" applyFill="0" applyProtection="0">
      <alignment horizontal="right" vertical="center" indent="1"/>
    </xf>
    <xf numFmtId="0" fontId="7" fillId="0" borderId="0" applyNumberFormat="0" applyFill="0" applyBorder="0" applyAlignment="0" applyProtection="0"/>
    <xf numFmtId="0" fontId="8" fillId="0" borderId="0" applyNumberFormat="0" applyFill="0" applyBorder="0" applyAlignment="0" applyProtection="0"/>
    <xf numFmtId="0" fontId="6" fillId="0" borderId="1" applyNumberFormat="0" applyAlignment="0" applyProtection="0"/>
    <xf numFmtId="0" fontId="5" fillId="5" borderId="0" applyBorder="0" applyProtection="0">
      <alignment horizontal="left" indent="1"/>
    </xf>
    <xf numFmtId="44" fontId="11" fillId="0" borderId="0" applyFont="0" applyFill="0" applyBorder="0" applyProtection="0">
      <alignment horizontal="right" vertical="center"/>
    </xf>
    <xf numFmtId="44" fontId="12" fillId="0" borderId="0" applyFill="0" applyBorder="0" applyProtection="0">
      <alignment horizontal="right" vertical="center"/>
    </xf>
    <xf numFmtId="0" fontId="14" fillId="4" borderId="0" applyNumberFormat="0" applyBorder="0" applyProtection="0">
      <alignment horizontal="left" vertical="top" wrapText="1" indent="1"/>
    </xf>
    <xf numFmtId="166" fontId="5" fillId="0" borderId="0" applyFont="0" applyFill="0" applyBorder="0" applyAlignment="0">
      <alignment vertical="center"/>
    </xf>
    <xf numFmtId="165" fontId="11" fillId="0" borderId="0" applyFont="0" applyFill="0" applyBorder="0">
      <alignment horizontal="right" vertical="center"/>
    </xf>
    <xf numFmtId="14" fontId="9" fillId="0" borderId="0" applyFont="0" applyFill="0" applyBorder="0" applyAlignment="0" applyProtection="0">
      <alignment horizontal="left" wrapText="1"/>
    </xf>
  </cellStyleXfs>
  <cellXfs count="62">
    <xf numFmtId="0" fontId="0" fillId="0" borderId="0" xfId="0">
      <alignment horizontal="left" vertical="center" wrapText="1" indent="1"/>
    </xf>
    <xf numFmtId="0" fontId="15" fillId="6" borderId="0" xfId="0" applyFont="1" applyFill="1">
      <alignment horizontal="left" vertical="center" wrapText="1" indent="1"/>
    </xf>
    <xf numFmtId="0" fontId="15" fillId="0" borderId="0" xfId="0" applyFont="1">
      <alignment horizontal="left" vertical="center" wrapText="1" indent="1"/>
    </xf>
    <xf numFmtId="0" fontId="16" fillId="6" borderId="0" xfId="6" applyFont="1" applyFill="1" applyBorder="1" applyProtection="1">
      <alignment vertical="center"/>
    </xf>
    <xf numFmtId="0" fontId="17" fillId="6" borderId="0" xfId="6" applyFont="1" applyFill="1" applyBorder="1" applyAlignment="1" applyProtection="1">
      <alignment horizontal="left" vertical="center" indent="2"/>
    </xf>
    <xf numFmtId="0" fontId="18" fillId="6" borderId="0" xfId="6" applyFont="1" applyFill="1" applyBorder="1" applyAlignment="1" applyProtection="1">
      <alignment horizontal="right"/>
    </xf>
    <xf numFmtId="0" fontId="19" fillId="6" borderId="0" xfId="6" applyFont="1" applyFill="1" applyBorder="1" applyAlignment="1" applyProtection="1">
      <alignment vertical="top" wrapText="1"/>
    </xf>
    <xf numFmtId="0" fontId="20" fillId="6" borderId="0" xfId="7" applyFont="1" applyFill="1" applyAlignment="1">
      <alignment vertical="center"/>
    </xf>
    <xf numFmtId="166" fontId="20" fillId="6" borderId="0" xfId="16" applyFont="1" applyFill="1" applyAlignment="1">
      <alignment vertical="center" wrapText="1"/>
    </xf>
    <xf numFmtId="0" fontId="20" fillId="6" borderId="0" xfId="7" applyFont="1" applyFill="1" applyProtection="1">
      <alignment vertical="center" wrapText="1"/>
    </xf>
    <xf numFmtId="0" fontId="21" fillId="6" borderId="0" xfId="7" applyFont="1" applyFill="1" applyBorder="1">
      <alignment vertical="center" wrapText="1"/>
    </xf>
    <xf numFmtId="166" fontId="20" fillId="6" borderId="0" xfId="16" applyFont="1" applyFill="1" applyBorder="1" applyAlignment="1">
      <alignment vertical="center" wrapText="1"/>
    </xf>
    <xf numFmtId="14" fontId="22" fillId="6" borderId="0" xfId="7" applyNumberFormat="1" applyFont="1" applyFill="1" applyBorder="1" applyAlignment="1">
      <alignment horizontal="left" vertical="center" wrapText="1"/>
    </xf>
    <xf numFmtId="0" fontId="22" fillId="6" borderId="0" xfId="2" applyFont="1" applyFill="1" applyBorder="1" applyProtection="1">
      <alignment vertical="center"/>
    </xf>
    <xf numFmtId="0" fontId="22" fillId="6" borderId="0" xfId="0" applyFont="1" applyFill="1" applyBorder="1">
      <alignment horizontal="left" vertical="center" wrapText="1" indent="1"/>
    </xf>
    <xf numFmtId="0" fontId="15" fillId="6" borderId="0" xfId="0" applyFont="1" applyFill="1" applyBorder="1">
      <alignment horizontal="left" vertical="center" wrapText="1" indent="1"/>
    </xf>
    <xf numFmtId="14" fontId="22" fillId="6" borderId="0" xfId="0" applyNumberFormat="1" applyFont="1" applyFill="1" applyBorder="1" applyAlignment="1">
      <alignment horizontal="left" vertical="center" wrapText="1"/>
    </xf>
    <xf numFmtId="0" fontId="23" fillId="6" borderId="0" xfId="0" applyFont="1" applyFill="1">
      <alignment horizontal="left" vertical="center" wrapText="1" indent="1"/>
    </xf>
    <xf numFmtId="0" fontId="22" fillId="6" borderId="0" xfId="7" applyFont="1" applyFill="1" applyAlignment="1">
      <alignment vertical="center"/>
    </xf>
    <xf numFmtId="0" fontId="22" fillId="6" borderId="0" xfId="7" applyFont="1" applyFill="1">
      <alignment vertical="center" wrapText="1"/>
    </xf>
    <xf numFmtId="0" fontId="22" fillId="6" borderId="0" xfId="2" applyFont="1" applyFill="1" applyAlignment="1" applyProtection="1">
      <alignment horizontal="left" vertical="top" indent="1"/>
    </xf>
    <xf numFmtId="166" fontId="22" fillId="6" borderId="0" xfId="2" applyNumberFormat="1" applyFont="1" applyFill="1">
      <alignment vertical="center"/>
    </xf>
    <xf numFmtId="14" fontId="22" fillId="6" borderId="0" xfId="18" applyFont="1" applyFill="1" applyAlignment="1">
      <alignment vertical="center" wrapText="1"/>
    </xf>
    <xf numFmtId="0" fontId="23" fillId="6" borderId="0" xfId="0" applyFont="1" applyFill="1" applyAlignment="1">
      <alignment wrapText="1"/>
    </xf>
    <xf numFmtId="0" fontId="22" fillId="6" borderId="0" xfId="2" applyFont="1" applyFill="1" applyProtection="1">
      <alignment vertical="center"/>
    </xf>
    <xf numFmtId="0" fontId="22" fillId="6" borderId="0" xfId="0" applyFont="1" applyFill="1" applyAlignment="1">
      <alignment horizontal="left" wrapText="1"/>
    </xf>
    <xf numFmtId="0" fontId="22" fillId="6" borderId="0" xfId="2" applyFont="1" applyFill="1" applyAlignment="1" applyProtection="1">
      <alignment vertical="top"/>
    </xf>
    <xf numFmtId="14" fontId="22" fillId="6" borderId="0" xfId="18" applyFont="1" applyFill="1" applyAlignment="1">
      <alignment vertical="center"/>
    </xf>
    <xf numFmtId="0" fontId="22" fillId="6" borderId="0" xfId="0" applyFont="1" applyFill="1" applyAlignment="1">
      <alignment wrapText="1"/>
    </xf>
    <xf numFmtId="0" fontId="22" fillId="6" borderId="0" xfId="1" applyFont="1" applyFill="1" applyAlignment="1" applyProtection="1">
      <alignment horizontal="left" vertical="center" indent="1"/>
    </xf>
    <xf numFmtId="0" fontId="22" fillId="6" borderId="0" xfId="0" applyFont="1" applyFill="1" applyAlignment="1">
      <alignment vertical="center" wrapText="1"/>
    </xf>
    <xf numFmtId="0" fontId="22" fillId="6" borderId="0" xfId="1" applyFont="1" applyFill="1" applyAlignment="1" applyProtection="1">
      <alignment horizontal="left" vertical="top" indent="1"/>
    </xf>
    <xf numFmtId="0" fontId="23" fillId="6" borderId="0" xfId="0" applyFont="1" applyFill="1" applyAlignment="1">
      <alignment vertical="center"/>
    </xf>
    <xf numFmtId="0" fontId="22" fillId="6" borderId="0" xfId="0" applyFont="1" applyFill="1">
      <alignment horizontal="left" vertical="center" wrapText="1" indent="1"/>
    </xf>
    <xf numFmtId="0" fontId="22" fillId="6" borderId="3" xfId="8" applyFont="1" applyFill="1" applyBorder="1">
      <alignment horizontal="right" vertical="center" indent="1"/>
    </xf>
    <xf numFmtId="0" fontId="22" fillId="6" borderId="0" xfId="12" applyFont="1" applyFill="1" applyAlignment="1" applyProtection="1"/>
    <xf numFmtId="0" fontId="22" fillId="6" borderId="0" xfId="12" applyFont="1" applyFill="1" applyBorder="1" applyAlignment="1" applyProtection="1"/>
    <xf numFmtId="0" fontId="22" fillId="6" borderId="0" xfId="15" applyFont="1" applyFill="1" applyAlignment="1">
      <alignment vertical="top" wrapText="1"/>
    </xf>
    <xf numFmtId="0" fontId="22" fillId="6" borderId="0" xfId="15" applyFont="1" applyFill="1" applyBorder="1" applyAlignment="1">
      <alignment vertical="top" wrapText="1"/>
    </xf>
    <xf numFmtId="164" fontId="17" fillId="6" borderId="3" xfId="11" applyNumberFormat="1" applyFont="1" applyFill="1" applyBorder="1" applyAlignment="1" applyProtection="1">
      <alignment horizontal="right" vertical="center"/>
    </xf>
    <xf numFmtId="0" fontId="24" fillId="6" borderId="0" xfId="6" applyFont="1" applyFill="1" applyBorder="1" applyAlignment="1" applyProtection="1">
      <alignment horizontal="right"/>
    </xf>
    <xf numFmtId="0" fontId="17" fillId="6" borderId="0" xfId="1" applyFont="1" applyFill="1" applyAlignment="1">
      <alignment horizontal="right" vertical="center" wrapText="1" indent="2"/>
    </xf>
    <xf numFmtId="0" fontId="17" fillId="6" borderId="0" xfId="1" applyFont="1" applyFill="1" applyBorder="1" applyAlignment="1">
      <alignment horizontal="right" vertical="center" wrapText="1" indent="2"/>
    </xf>
    <xf numFmtId="0" fontId="17" fillId="6" borderId="0" xfId="0" applyFont="1" applyFill="1" applyBorder="1" applyAlignment="1">
      <alignment horizontal="right" vertical="center" wrapText="1" indent="2"/>
    </xf>
    <xf numFmtId="0" fontId="17" fillId="6" borderId="0" xfId="1" applyFont="1" applyFill="1" applyAlignment="1">
      <alignment vertical="center" wrapText="1"/>
    </xf>
    <xf numFmtId="0" fontId="17" fillId="6" borderId="0" xfId="0" applyFont="1" applyFill="1" applyAlignment="1">
      <alignment horizontal="right" indent="2"/>
    </xf>
    <xf numFmtId="0" fontId="17" fillId="6" borderId="0" xfId="0" applyFont="1" applyFill="1" applyAlignment="1">
      <alignment horizontal="right" wrapText="1" indent="2"/>
    </xf>
    <xf numFmtId="0" fontId="27" fillId="0" borderId="0" xfId="0" applyFont="1" applyFill="1" applyBorder="1">
      <alignment horizontal="left" vertical="center" wrapText="1" indent="1"/>
    </xf>
    <xf numFmtId="0" fontId="27" fillId="0" borderId="0" xfId="0" applyFont="1" applyFill="1" applyBorder="1" applyAlignment="1">
      <alignment horizontal="right" vertical="center" wrapText="1" indent="1"/>
    </xf>
    <xf numFmtId="165" fontId="27" fillId="0" borderId="0" xfId="17" applyFont="1" applyFill="1" applyBorder="1" applyAlignment="1">
      <alignment horizontal="right" vertical="center" indent="1"/>
    </xf>
    <xf numFmtId="167" fontId="27" fillId="0" borderId="0" xfId="13" applyNumberFormat="1" applyFont="1" applyFill="1" applyBorder="1" applyAlignment="1" applyProtection="1">
      <alignment horizontal="right" vertical="center" indent="2"/>
    </xf>
    <xf numFmtId="167" fontId="27" fillId="0" borderId="0" xfId="13" applyNumberFormat="1" applyFont="1" applyFill="1" applyBorder="1" applyProtection="1">
      <alignment horizontal="right" vertical="center"/>
    </xf>
    <xf numFmtId="167" fontId="27" fillId="0" borderId="0" xfId="13" applyNumberFormat="1" applyFont="1" applyFill="1" applyBorder="1" applyAlignment="1" applyProtection="1">
      <alignment horizontal="right" vertical="center" indent="1"/>
    </xf>
    <xf numFmtId="167" fontId="22" fillId="6" borderId="3" xfId="13" applyNumberFormat="1" applyFont="1" applyFill="1" applyBorder="1" applyAlignment="1">
      <alignment horizontal="right" vertical="center" indent="1"/>
    </xf>
    <xf numFmtId="167" fontId="22" fillId="6" borderId="3" xfId="13" applyNumberFormat="1" applyFont="1" applyFill="1" applyBorder="1" applyAlignment="1" applyProtection="1">
      <alignment horizontal="right" vertical="center" indent="1"/>
    </xf>
    <xf numFmtId="0" fontId="25" fillId="6" borderId="0" xfId="6" applyFont="1" applyFill="1" applyBorder="1" applyAlignment="1" applyProtection="1">
      <alignment horizontal="left"/>
    </xf>
    <xf numFmtId="0" fontId="22" fillId="6" borderId="0" xfId="0" applyFont="1" applyFill="1" applyAlignment="1">
      <alignment horizontal="center" vertical="center" wrapText="1"/>
    </xf>
    <xf numFmtId="0" fontId="26" fillId="6" borderId="0" xfId="7" applyFont="1" applyFill="1" applyBorder="1" applyAlignment="1">
      <alignment horizontal="left" vertical="center" wrapText="1"/>
    </xf>
    <xf numFmtId="14" fontId="22" fillId="6" borderId="0" xfId="7" applyNumberFormat="1" applyFont="1" applyFill="1" applyAlignment="1">
      <alignment horizontal="left" vertical="center" wrapText="1"/>
    </xf>
    <xf numFmtId="0" fontId="17" fillId="6" borderId="0" xfId="0" applyFont="1" applyFill="1" applyAlignment="1">
      <alignment horizontal="center" wrapText="1"/>
    </xf>
    <xf numFmtId="10" fontId="1" fillId="0" borderId="0" xfId="4" applyNumberFormat="1" applyFont="1" applyFill="1" applyBorder="1" applyProtection="1">
      <alignment horizontal="right" vertical="center"/>
    </xf>
    <xf numFmtId="44" fontId="22" fillId="6" borderId="3" xfId="13" applyFont="1" applyFill="1" applyBorder="1">
      <alignment horizontal="right" vertical="center"/>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xdr:colOff>
      <xdr:row>1</xdr:row>
      <xdr:rowOff>95488</xdr:rowOff>
    </xdr:from>
    <xdr:to>
      <xdr:col>2</xdr:col>
      <xdr:colOff>91420</xdr:colOff>
      <xdr:row>5</xdr:row>
      <xdr:rowOff>4048</xdr:rowOff>
    </xdr:to>
    <xdr:pic>
      <xdr:nvPicPr>
        <xdr:cNvPr id="3" name="Graphic 2" descr="Logo placeholder. Replace this image with your company logo.">
          <a:extLst>
            <a:ext uri="{FF2B5EF4-FFF2-40B4-BE49-F238E27FC236}">
              <a16:creationId xmlns:a16="http://schemas.microsoft.com/office/drawing/2014/main" id="{CE53BC8E-1F7B-D406-6995-C9F4B86428D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04424" y="727948"/>
          <a:ext cx="1225296" cy="12344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60" totalsRowShown="0" headerRowDxfId="7" dataDxfId="6">
  <autoFilter ref="B13:G6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5"/>
    <tableColumn id="2" xr3:uid="{00000000-0010-0000-0000-000002000000}" name="Description" dataDxfId="4"/>
    <tableColumn id="7" xr3:uid="{00000000-0010-0000-0000-000007000000}" name="Qty" dataDxfId="3"/>
    <tableColumn id="8" xr3:uid="{00000000-0010-0000-0000-000008000000}" name="Unit price" dataDxfId="2"/>
    <tableColumn id="10" xr3:uid="{00000000-0010-0000-0000-00000A000000}" name="Discount" dataDxfId="1"/>
    <tableColumn id="11" xr3:uid="{00000000-0010-0000-0000-00000B000000}" name="Price" dataDxfId="0">
      <calculatedColumnFormula>IFERROR(IF(SimpleInvoice[[#This Row],[Unit price]]="","",(SimpleInvoice[[#This Row],[Qty]]*SimpleInvoice[[#This Row],[Unit price]])-SimpleInvoice[[#This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legantembrace@examp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70"/>
  <sheetViews>
    <sheetView showGridLines="0" tabSelected="1" zoomScaleNormal="100" workbookViewId="0">
      <selection activeCell="F64" sqref="F64"/>
    </sheetView>
  </sheetViews>
  <sheetFormatPr defaultColWidth="9" defaultRowHeight="33.9" customHeight="1" x14ac:dyDescent="0.3"/>
  <cols>
    <col min="1" max="1" width="8.25" style="2" customWidth="1"/>
    <col min="2" max="2" width="18.625" style="2" customWidth="1"/>
    <col min="3" max="3" width="25" style="2" customWidth="1"/>
    <col min="4" max="5" width="18.625" style="2" customWidth="1"/>
    <col min="6" max="6" width="20.125" style="2" customWidth="1"/>
    <col min="7" max="7" width="18.625" style="2" customWidth="1"/>
    <col min="8" max="8" width="8.25" style="2" customWidth="1"/>
    <col min="9" max="16384" width="9" style="2"/>
  </cols>
  <sheetData>
    <row r="1" spans="1:8" ht="50.1" customHeight="1" x14ac:dyDescent="0.3">
      <c r="A1" s="1"/>
      <c r="B1" s="1"/>
      <c r="C1" s="1"/>
      <c r="D1" s="1"/>
      <c r="E1" s="1"/>
      <c r="F1" s="1"/>
      <c r="G1" s="1"/>
      <c r="H1" s="1"/>
    </row>
    <row r="2" spans="1:8" ht="57.9" customHeight="1" x14ac:dyDescent="1.1000000000000001">
      <c r="A2" s="1"/>
      <c r="B2" s="3"/>
      <c r="C2" s="55" t="s">
        <v>20</v>
      </c>
      <c r="D2" s="55"/>
      <c r="E2" s="4"/>
      <c r="F2" s="5"/>
      <c r="G2" s="40" t="s">
        <v>14</v>
      </c>
      <c r="H2" s="6"/>
    </row>
    <row r="3" spans="1:8" ht="15.9" customHeight="1" x14ac:dyDescent="0.3">
      <c r="A3" s="1"/>
      <c r="B3" s="7"/>
      <c r="C3" s="57" t="s">
        <v>16</v>
      </c>
      <c r="D3" s="57"/>
      <c r="E3" s="8"/>
      <c r="F3" s="41" t="s">
        <v>21</v>
      </c>
      <c r="G3" s="58">
        <v>41577</v>
      </c>
      <c r="H3" s="9"/>
    </row>
    <row r="4" spans="1:8" ht="15.9" customHeight="1" x14ac:dyDescent="0.3">
      <c r="A4" s="1"/>
      <c r="B4" s="10" t="s">
        <v>15</v>
      </c>
      <c r="C4" s="57"/>
      <c r="D4" s="57"/>
      <c r="E4" s="11"/>
      <c r="F4" s="42" t="s">
        <v>22</v>
      </c>
      <c r="G4" s="12">
        <v>41589</v>
      </c>
      <c r="H4" s="9"/>
    </row>
    <row r="5" spans="1:8" ht="15.9" customHeight="1" x14ac:dyDescent="0.3">
      <c r="A5" s="1"/>
      <c r="B5" s="13"/>
      <c r="C5" s="14"/>
      <c r="D5" s="14"/>
      <c r="E5" s="15"/>
      <c r="F5" s="43" t="s">
        <v>23</v>
      </c>
      <c r="G5" s="16">
        <v>41584</v>
      </c>
      <c r="H5" s="17"/>
    </row>
    <row r="6" spans="1:8" ht="60" customHeight="1" x14ac:dyDescent="0.3">
      <c r="A6" s="1"/>
      <c r="B6" s="18"/>
      <c r="C6" s="18"/>
      <c r="D6" s="8"/>
      <c r="E6" s="8"/>
      <c r="F6" s="44"/>
      <c r="G6" s="19"/>
      <c r="H6" s="9"/>
    </row>
    <row r="7" spans="1:8" ht="15.9" customHeight="1" x14ac:dyDescent="0.3">
      <c r="A7" s="1"/>
      <c r="B7" s="20" t="s">
        <v>7</v>
      </c>
      <c r="C7" s="20"/>
      <c r="D7" s="21"/>
      <c r="E7" s="21"/>
      <c r="F7" s="45" t="s">
        <v>24</v>
      </c>
      <c r="G7" s="22" t="s">
        <v>25</v>
      </c>
      <c r="H7" s="23"/>
    </row>
    <row r="8" spans="1:8" ht="15.9" customHeight="1" x14ac:dyDescent="0.3">
      <c r="A8" s="1"/>
      <c r="B8" s="20" t="s">
        <v>8</v>
      </c>
      <c r="C8" s="20"/>
      <c r="D8" s="24"/>
      <c r="E8" s="59" t="s">
        <v>26</v>
      </c>
      <c r="F8" s="59"/>
      <c r="G8" s="25" t="s">
        <v>28</v>
      </c>
      <c r="H8" s="23"/>
    </row>
    <row r="9" spans="1:8" ht="15.9" customHeight="1" x14ac:dyDescent="0.3">
      <c r="A9" s="1"/>
      <c r="B9" s="20" t="s">
        <v>9</v>
      </c>
      <c r="C9" s="26"/>
      <c r="D9" s="21"/>
      <c r="E9" s="21"/>
      <c r="F9" s="45" t="s">
        <v>27</v>
      </c>
      <c r="G9" s="27" t="s">
        <v>29</v>
      </c>
      <c r="H9" s="23"/>
    </row>
    <row r="10" spans="1:8" ht="15.9" customHeight="1" x14ac:dyDescent="0.3">
      <c r="A10" s="1"/>
      <c r="B10" s="20" t="s">
        <v>10</v>
      </c>
      <c r="C10" s="20"/>
      <c r="D10" s="24"/>
      <c r="E10" s="24"/>
      <c r="F10" s="46" t="s">
        <v>17</v>
      </c>
      <c r="G10" s="28"/>
      <c r="H10" s="23"/>
    </row>
    <row r="11" spans="1:8" ht="15.9" customHeight="1" x14ac:dyDescent="0.3">
      <c r="A11" s="1"/>
      <c r="B11" s="29" t="s">
        <v>11</v>
      </c>
      <c r="C11" s="24"/>
      <c r="D11" s="21"/>
      <c r="E11" s="21"/>
      <c r="F11" s="45" t="s">
        <v>18</v>
      </c>
      <c r="G11" s="30"/>
      <c r="H11" s="23"/>
    </row>
    <row r="12" spans="1:8" ht="60.9" customHeight="1" x14ac:dyDescent="0.3">
      <c r="A12" s="1"/>
      <c r="B12" s="31"/>
      <c r="C12" s="14"/>
      <c r="D12" s="14"/>
      <c r="E12" s="14"/>
      <c r="F12" s="14"/>
      <c r="G12" s="14"/>
      <c r="H12" s="17"/>
    </row>
    <row r="13" spans="1:8" ht="26.1" customHeight="1" x14ac:dyDescent="0.3">
      <c r="A13" s="1"/>
      <c r="B13" s="47" t="s">
        <v>6</v>
      </c>
      <c r="C13" s="47" t="s">
        <v>0</v>
      </c>
      <c r="D13" s="48" t="s">
        <v>3</v>
      </c>
      <c r="E13" s="48" t="s">
        <v>12</v>
      </c>
      <c r="F13" s="48" t="s">
        <v>5</v>
      </c>
      <c r="G13" s="48" t="s">
        <v>4</v>
      </c>
      <c r="H13" s="32"/>
    </row>
    <row r="14" spans="1:8" ht="26.1" customHeight="1" x14ac:dyDescent="0.3">
      <c r="A14" s="1"/>
      <c r="B14" s="47" t="s">
        <v>30</v>
      </c>
      <c r="C14" s="47"/>
      <c r="D14" s="49">
        <v>11</v>
      </c>
      <c r="E14" s="52">
        <v>36.83</v>
      </c>
      <c r="F14" s="60">
        <v>0.02</v>
      </c>
      <c r="G14" s="52">
        <v>397.0274</v>
      </c>
      <c r="H14" s="32"/>
    </row>
    <row r="15" spans="1:8" ht="26.1" customHeight="1" x14ac:dyDescent="0.3">
      <c r="A15" s="1"/>
      <c r="B15" s="47" t="s">
        <v>31</v>
      </c>
      <c r="C15" s="47"/>
      <c r="D15" s="49">
        <v>9</v>
      </c>
      <c r="E15" s="52">
        <v>29.994</v>
      </c>
      <c r="F15" s="52"/>
      <c r="G15" s="52">
        <v>269.94600000000003</v>
      </c>
      <c r="H15" s="32"/>
    </row>
    <row r="16" spans="1:8" ht="26.1" customHeight="1" x14ac:dyDescent="0.3">
      <c r="A16" s="1"/>
      <c r="B16" s="47" t="s">
        <v>32</v>
      </c>
      <c r="C16" s="47"/>
      <c r="D16" s="49">
        <v>9</v>
      </c>
      <c r="E16" s="52">
        <v>2.9940000000000002</v>
      </c>
      <c r="F16" s="52"/>
      <c r="G16" s="52">
        <v>26.946000000000002</v>
      </c>
      <c r="H16" s="32"/>
    </row>
    <row r="17" spans="1:8" ht="26.1" customHeight="1" x14ac:dyDescent="0.3">
      <c r="A17" s="1"/>
      <c r="B17" s="47" t="s">
        <v>33</v>
      </c>
      <c r="C17" s="47"/>
      <c r="D17" s="49">
        <v>7</v>
      </c>
      <c r="E17" s="52">
        <v>72</v>
      </c>
      <c r="F17" s="52"/>
      <c r="G17" s="52">
        <v>504</v>
      </c>
      <c r="H17" s="32"/>
    </row>
    <row r="18" spans="1:8" ht="26.1" customHeight="1" x14ac:dyDescent="0.3">
      <c r="A18" s="1"/>
      <c r="B18" s="47" t="s">
        <v>34</v>
      </c>
      <c r="C18" s="47"/>
      <c r="D18" s="49">
        <v>7</v>
      </c>
      <c r="E18" s="52">
        <v>20.994</v>
      </c>
      <c r="F18" s="52"/>
      <c r="G18" s="52">
        <v>146.958</v>
      </c>
      <c r="H18" s="32"/>
    </row>
    <row r="19" spans="1:8" ht="26.1" customHeight="1" x14ac:dyDescent="0.3">
      <c r="A19" s="1"/>
      <c r="B19" s="47" t="s">
        <v>35</v>
      </c>
      <c r="C19" s="47"/>
      <c r="D19" s="49">
        <v>7</v>
      </c>
      <c r="E19" s="52">
        <v>32.393999999999998</v>
      </c>
      <c r="F19" s="52"/>
      <c r="G19" s="52">
        <v>226.75800000000001</v>
      </c>
      <c r="H19" s="32"/>
    </row>
    <row r="20" spans="1:8" ht="26.1" customHeight="1" x14ac:dyDescent="0.3">
      <c r="A20" s="1"/>
      <c r="B20" s="47" t="s">
        <v>36</v>
      </c>
      <c r="C20" s="47"/>
      <c r="D20" s="49">
        <v>5</v>
      </c>
      <c r="E20" s="52">
        <v>20.994</v>
      </c>
      <c r="F20" s="52"/>
      <c r="G20" s="52">
        <v>104.97</v>
      </c>
      <c r="H20" s="32"/>
    </row>
    <row r="21" spans="1:8" ht="26.1" customHeight="1" x14ac:dyDescent="0.3">
      <c r="A21" s="1"/>
      <c r="B21" s="47" t="s">
        <v>37</v>
      </c>
      <c r="C21" s="47"/>
      <c r="D21" s="49">
        <v>5</v>
      </c>
      <c r="E21" s="52">
        <v>4.7699999999999996</v>
      </c>
      <c r="F21" s="52"/>
      <c r="G21" s="52">
        <v>23.85</v>
      </c>
      <c r="H21" s="32"/>
    </row>
    <row r="22" spans="1:8" ht="26.1" customHeight="1" x14ac:dyDescent="0.3">
      <c r="A22" s="1"/>
      <c r="B22" s="47" t="s">
        <v>38</v>
      </c>
      <c r="C22" s="47"/>
      <c r="D22" s="49">
        <v>5</v>
      </c>
      <c r="E22" s="52">
        <v>602.346</v>
      </c>
      <c r="F22" s="52"/>
      <c r="G22" s="52">
        <v>3011.73</v>
      </c>
      <c r="H22" s="32"/>
    </row>
    <row r="23" spans="1:8" ht="26.1" customHeight="1" x14ac:dyDescent="0.3">
      <c r="A23" s="1"/>
      <c r="B23" s="47" t="s">
        <v>39</v>
      </c>
      <c r="C23" s="47"/>
      <c r="D23" s="49">
        <v>4</v>
      </c>
      <c r="E23" s="52">
        <v>5.3940000000000001</v>
      </c>
      <c r="F23" s="52"/>
      <c r="G23" s="52">
        <v>21.576000000000001</v>
      </c>
      <c r="H23" s="32"/>
    </row>
    <row r="24" spans="1:8" ht="26.1" customHeight="1" x14ac:dyDescent="0.3">
      <c r="A24" s="1"/>
      <c r="B24" s="47" t="s">
        <v>40</v>
      </c>
      <c r="C24" s="47"/>
      <c r="D24" s="49">
        <v>4</v>
      </c>
      <c r="E24" s="52">
        <v>32.393999999999998</v>
      </c>
      <c r="F24" s="52"/>
      <c r="G24" s="52">
        <v>129.57599999999999</v>
      </c>
      <c r="H24" s="32"/>
    </row>
    <row r="25" spans="1:8" ht="26.1" customHeight="1" x14ac:dyDescent="0.3">
      <c r="A25" s="1"/>
      <c r="B25" s="47" t="s">
        <v>41</v>
      </c>
      <c r="C25" s="47"/>
      <c r="D25" s="48">
        <v>4</v>
      </c>
      <c r="E25" s="48">
        <v>31.584</v>
      </c>
      <c r="F25" s="48"/>
      <c r="G25" s="48">
        <v>126.336</v>
      </c>
      <c r="H25" s="32"/>
    </row>
    <row r="26" spans="1:8" ht="26.1" customHeight="1" x14ac:dyDescent="0.3">
      <c r="A26" s="1"/>
      <c r="B26" s="47" t="s">
        <v>42</v>
      </c>
      <c r="C26" s="47"/>
      <c r="D26" s="48">
        <v>3</v>
      </c>
      <c r="E26" s="48">
        <v>63.9</v>
      </c>
      <c r="F26" s="48"/>
      <c r="G26" s="48">
        <v>191.7</v>
      </c>
      <c r="H26" s="32"/>
    </row>
    <row r="27" spans="1:8" ht="26.1" customHeight="1" x14ac:dyDescent="0.3">
      <c r="A27" s="1"/>
      <c r="B27" s="47" t="s">
        <v>43</v>
      </c>
      <c r="C27" s="47"/>
      <c r="D27" s="48">
        <v>3</v>
      </c>
      <c r="E27" s="48">
        <v>1430.442</v>
      </c>
      <c r="F27" s="48"/>
      <c r="G27" s="48">
        <v>4291.326</v>
      </c>
      <c r="H27" s="32"/>
    </row>
    <row r="28" spans="1:8" ht="26.1" customHeight="1" x14ac:dyDescent="0.3">
      <c r="A28" s="1"/>
      <c r="B28" s="47" t="s">
        <v>44</v>
      </c>
      <c r="C28" s="47"/>
      <c r="D28" s="48">
        <v>3</v>
      </c>
      <c r="E28" s="48">
        <v>1430.442</v>
      </c>
      <c r="F28" s="48"/>
      <c r="G28" s="48">
        <v>4291.326</v>
      </c>
      <c r="H28" s="32"/>
    </row>
    <row r="29" spans="1:8" ht="26.1" customHeight="1" x14ac:dyDescent="0.3">
      <c r="A29" s="1"/>
      <c r="B29" s="47" t="s">
        <v>45</v>
      </c>
      <c r="C29" s="47"/>
      <c r="D29" s="48">
        <v>3</v>
      </c>
      <c r="E29" s="48">
        <v>32.994</v>
      </c>
      <c r="F29" s="48"/>
      <c r="G29" s="48">
        <v>98.981999999999999</v>
      </c>
      <c r="H29" s="32"/>
    </row>
    <row r="30" spans="1:8" ht="26.1" customHeight="1" x14ac:dyDescent="0.3">
      <c r="A30" s="1"/>
      <c r="B30" s="47" t="s">
        <v>46</v>
      </c>
      <c r="C30" s="47"/>
      <c r="D30" s="48">
        <v>3</v>
      </c>
      <c r="E30" s="48">
        <v>1430.442</v>
      </c>
      <c r="F30" s="48"/>
      <c r="G30" s="48">
        <v>4291.326</v>
      </c>
      <c r="H30" s="32"/>
    </row>
    <row r="31" spans="1:8" ht="26.1" customHeight="1" x14ac:dyDescent="0.3">
      <c r="A31" s="1"/>
      <c r="B31" s="47" t="s">
        <v>47</v>
      </c>
      <c r="C31" s="47"/>
      <c r="D31" s="48">
        <v>3</v>
      </c>
      <c r="E31" s="48">
        <v>1430.442</v>
      </c>
      <c r="F31" s="48"/>
      <c r="G31" s="48">
        <v>4291.326</v>
      </c>
      <c r="H31" s="32"/>
    </row>
    <row r="32" spans="1:8" ht="26.1" customHeight="1" x14ac:dyDescent="0.3">
      <c r="A32" s="1"/>
      <c r="B32" s="47" t="s">
        <v>48</v>
      </c>
      <c r="C32" s="47"/>
      <c r="D32" s="48">
        <v>3</v>
      </c>
      <c r="E32" s="48">
        <v>29.994</v>
      </c>
      <c r="F32" s="48"/>
      <c r="G32" s="48">
        <v>89.981999999999999</v>
      </c>
      <c r="H32" s="32"/>
    </row>
    <row r="33" spans="1:8" ht="26.1" customHeight="1" x14ac:dyDescent="0.3">
      <c r="A33" s="1"/>
      <c r="B33" s="47" t="s">
        <v>49</v>
      </c>
      <c r="C33" s="47"/>
      <c r="D33" s="48">
        <v>3</v>
      </c>
      <c r="E33" s="48">
        <v>602.346</v>
      </c>
      <c r="F33" s="48"/>
      <c r="G33" s="48">
        <v>1807.038</v>
      </c>
      <c r="H33" s="32"/>
    </row>
    <row r="34" spans="1:8" ht="26.1" customHeight="1" x14ac:dyDescent="0.3">
      <c r="A34" s="1"/>
      <c r="B34" s="47" t="s">
        <v>50</v>
      </c>
      <c r="C34" s="47"/>
      <c r="D34" s="48">
        <v>3</v>
      </c>
      <c r="E34" s="48">
        <v>14.694000000000001</v>
      </c>
      <c r="F34" s="48"/>
      <c r="G34" s="48">
        <v>44.082000000000001</v>
      </c>
      <c r="H34" s="32"/>
    </row>
    <row r="35" spans="1:8" ht="26.1" customHeight="1" x14ac:dyDescent="0.3">
      <c r="A35" s="1"/>
      <c r="B35" s="47" t="s">
        <v>51</v>
      </c>
      <c r="C35" s="47"/>
      <c r="D35" s="48">
        <v>2</v>
      </c>
      <c r="E35" s="48">
        <v>48.594000000000001</v>
      </c>
      <c r="F35" s="48"/>
      <c r="G35" s="48">
        <v>97.188000000000002</v>
      </c>
      <c r="H35" s="32"/>
    </row>
    <row r="36" spans="1:8" ht="26.1" customHeight="1" x14ac:dyDescent="0.3">
      <c r="A36" s="1"/>
      <c r="B36" s="47" t="s">
        <v>52</v>
      </c>
      <c r="C36" s="47"/>
      <c r="D36" s="48">
        <v>2</v>
      </c>
      <c r="E36" s="48">
        <v>445.41</v>
      </c>
      <c r="F36" s="48"/>
      <c r="G36" s="48">
        <v>890.82</v>
      </c>
      <c r="H36" s="32"/>
    </row>
    <row r="37" spans="1:8" ht="26.1" customHeight="1" x14ac:dyDescent="0.3">
      <c r="A37" s="1"/>
      <c r="B37" s="47" t="s">
        <v>53</v>
      </c>
      <c r="C37" s="47"/>
      <c r="D37" s="48">
        <v>2</v>
      </c>
      <c r="E37" s="48">
        <v>20.994</v>
      </c>
      <c r="F37" s="48"/>
      <c r="G37" s="48">
        <v>41.988</v>
      </c>
      <c r="H37" s="32"/>
    </row>
    <row r="38" spans="1:8" ht="26.1" customHeight="1" x14ac:dyDescent="0.3">
      <c r="A38" s="1"/>
      <c r="B38" s="47" t="s">
        <v>54</v>
      </c>
      <c r="C38" s="47"/>
      <c r="D38" s="48">
        <v>2</v>
      </c>
      <c r="E38" s="48">
        <v>38.1</v>
      </c>
      <c r="F38" s="48"/>
      <c r="G38" s="48">
        <v>76.2</v>
      </c>
      <c r="H38" s="32"/>
    </row>
    <row r="39" spans="1:8" ht="26.1" customHeight="1" x14ac:dyDescent="0.3">
      <c r="A39" s="1"/>
      <c r="B39" s="47" t="s">
        <v>55</v>
      </c>
      <c r="C39" s="47"/>
      <c r="D39" s="48">
        <v>2</v>
      </c>
      <c r="E39" s="48">
        <v>445.41</v>
      </c>
      <c r="F39" s="48"/>
      <c r="G39" s="48">
        <v>890.82</v>
      </c>
      <c r="H39" s="32"/>
    </row>
    <row r="40" spans="1:8" ht="26.1" customHeight="1" x14ac:dyDescent="0.3">
      <c r="A40" s="1"/>
      <c r="B40" s="47" t="s">
        <v>56</v>
      </c>
      <c r="C40" s="47"/>
      <c r="D40" s="48">
        <v>2</v>
      </c>
      <c r="E40" s="48">
        <v>72.894000000000005</v>
      </c>
      <c r="F40" s="48"/>
      <c r="G40" s="48">
        <v>145.78800000000001</v>
      </c>
      <c r="H40" s="32"/>
    </row>
    <row r="41" spans="1:8" ht="26.1" customHeight="1" x14ac:dyDescent="0.3">
      <c r="A41" s="1"/>
      <c r="B41" s="47" t="s">
        <v>57</v>
      </c>
      <c r="C41" s="47"/>
      <c r="D41" s="48">
        <v>2</v>
      </c>
      <c r="E41" s="48">
        <v>72.876000000000005</v>
      </c>
      <c r="F41" s="48"/>
      <c r="G41" s="48">
        <v>145.75200000000001</v>
      </c>
      <c r="H41" s="32"/>
    </row>
    <row r="42" spans="1:8" ht="26.1" customHeight="1" x14ac:dyDescent="0.3">
      <c r="A42" s="1"/>
      <c r="B42" s="47" t="s">
        <v>58</v>
      </c>
      <c r="C42" s="47"/>
      <c r="D42" s="48">
        <v>2</v>
      </c>
      <c r="E42" s="48">
        <v>728.91</v>
      </c>
      <c r="F42" s="48"/>
      <c r="G42" s="48">
        <v>1457.82</v>
      </c>
      <c r="H42" s="32"/>
    </row>
    <row r="43" spans="1:8" ht="26.1" customHeight="1" x14ac:dyDescent="0.3">
      <c r="A43" s="1"/>
      <c r="B43" s="47" t="s">
        <v>59</v>
      </c>
      <c r="C43" s="47"/>
      <c r="D43" s="48">
        <v>2</v>
      </c>
      <c r="E43" s="48">
        <v>63.9</v>
      </c>
      <c r="F43" s="48"/>
      <c r="G43" s="48">
        <v>127.8</v>
      </c>
      <c r="H43" s="32"/>
    </row>
    <row r="44" spans="1:8" ht="26.1" customHeight="1" x14ac:dyDescent="0.3">
      <c r="A44" s="1"/>
      <c r="B44" s="47" t="s">
        <v>60</v>
      </c>
      <c r="C44" s="47"/>
      <c r="D44" s="48">
        <v>2</v>
      </c>
      <c r="E44" s="48">
        <v>14.694000000000001</v>
      </c>
      <c r="F44" s="48"/>
      <c r="G44" s="48">
        <v>29.388000000000002</v>
      </c>
      <c r="H44" s="32"/>
    </row>
    <row r="45" spans="1:8" ht="26.1" customHeight="1" x14ac:dyDescent="0.3">
      <c r="A45" s="1"/>
      <c r="B45" s="47" t="s">
        <v>61</v>
      </c>
      <c r="C45" s="47"/>
      <c r="D45" s="48">
        <v>2</v>
      </c>
      <c r="E45" s="48">
        <v>32.393999999999998</v>
      </c>
      <c r="F45" s="48"/>
      <c r="G45" s="48">
        <v>64.787999999999997</v>
      </c>
      <c r="H45" s="32"/>
    </row>
    <row r="46" spans="1:8" ht="26.1" customHeight="1" x14ac:dyDescent="0.3">
      <c r="A46" s="1"/>
      <c r="B46" s="47" t="s">
        <v>62</v>
      </c>
      <c r="C46" s="47"/>
      <c r="D46" s="48">
        <v>1</v>
      </c>
      <c r="E46" s="48">
        <v>445.41</v>
      </c>
      <c r="F46" s="48"/>
      <c r="G46" s="48">
        <v>445.41</v>
      </c>
      <c r="H46" s="32"/>
    </row>
    <row r="47" spans="1:8" ht="26.1" customHeight="1" x14ac:dyDescent="0.3">
      <c r="A47" s="1"/>
      <c r="B47" s="47" t="s">
        <v>63</v>
      </c>
      <c r="C47" s="47"/>
      <c r="D47" s="49">
        <v>1</v>
      </c>
      <c r="E47" s="52">
        <v>445.41</v>
      </c>
      <c r="F47" s="52"/>
      <c r="G47" s="52">
        <v>445.41</v>
      </c>
      <c r="H47" s="32"/>
    </row>
    <row r="48" spans="1:8" ht="26.1" customHeight="1" x14ac:dyDescent="0.3">
      <c r="A48" s="1"/>
      <c r="B48" s="47" t="s">
        <v>64</v>
      </c>
      <c r="C48" s="47"/>
      <c r="D48" s="49">
        <v>1</v>
      </c>
      <c r="E48" s="52">
        <v>445.41</v>
      </c>
      <c r="F48" s="52"/>
      <c r="G48" s="52">
        <v>445.41</v>
      </c>
      <c r="H48" s="32"/>
    </row>
    <row r="49" spans="1:8" ht="26.1" customHeight="1" x14ac:dyDescent="0.3">
      <c r="A49" s="1"/>
      <c r="B49" s="47" t="s">
        <v>65</v>
      </c>
      <c r="C49" s="47"/>
      <c r="D49" s="49">
        <v>1</v>
      </c>
      <c r="E49" s="52">
        <v>445.41</v>
      </c>
      <c r="F49" s="52"/>
      <c r="G49" s="52">
        <v>445.41</v>
      </c>
      <c r="H49" s="32"/>
    </row>
    <row r="50" spans="1:8" ht="26.1" customHeight="1" x14ac:dyDescent="0.3">
      <c r="A50" s="1"/>
      <c r="B50" s="47" t="s">
        <v>66</v>
      </c>
      <c r="C50" s="47"/>
      <c r="D50" s="49">
        <v>1</v>
      </c>
      <c r="E50" s="52">
        <v>445.41</v>
      </c>
      <c r="F50" s="52"/>
      <c r="G50" s="52">
        <v>445.41</v>
      </c>
      <c r="H50" s="32"/>
    </row>
    <row r="51" spans="1:8" ht="26.1" customHeight="1" x14ac:dyDescent="0.3">
      <c r="A51" s="1"/>
      <c r="B51" s="47" t="s">
        <v>67</v>
      </c>
      <c r="C51" s="47"/>
      <c r="D51" s="49">
        <v>1</v>
      </c>
      <c r="E51" s="52">
        <v>445.41</v>
      </c>
      <c r="F51" s="52"/>
      <c r="G51" s="52">
        <v>445.41</v>
      </c>
      <c r="H51" s="32"/>
    </row>
    <row r="52" spans="1:8" ht="26.1" customHeight="1" x14ac:dyDescent="0.3">
      <c r="A52" s="1"/>
      <c r="B52" s="47" t="s">
        <v>68</v>
      </c>
      <c r="C52" s="47"/>
      <c r="D52" s="49">
        <v>1</v>
      </c>
      <c r="E52" s="52">
        <v>1430.442</v>
      </c>
      <c r="F52" s="52"/>
      <c r="G52" s="52">
        <v>1430.442</v>
      </c>
      <c r="H52" s="32"/>
    </row>
    <row r="53" spans="1:8" ht="26.1" customHeight="1" x14ac:dyDescent="0.3">
      <c r="A53" s="1"/>
      <c r="B53" s="47" t="s">
        <v>69</v>
      </c>
      <c r="C53" s="47"/>
      <c r="D53" s="49">
        <v>1</v>
      </c>
      <c r="E53" s="52">
        <v>1430.442</v>
      </c>
      <c r="F53" s="52"/>
      <c r="G53" s="52">
        <v>1430.442</v>
      </c>
      <c r="H53" s="32"/>
    </row>
    <row r="54" spans="1:8" ht="26.1" customHeight="1" x14ac:dyDescent="0.3">
      <c r="A54" s="1"/>
      <c r="B54" s="47" t="s">
        <v>70</v>
      </c>
      <c r="C54" s="47"/>
      <c r="D54" s="49">
        <v>1</v>
      </c>
      <c r="E54" s="52">
        <v>32.393999999999998</v>
      </c>
      <c r="F54" s="52"/>
      <c r="G54" s="52">
        <v>32.393999999999998</v>
      </c>
      <c r="H54" s="32"/>
    </row>
    <row r="55" spans="1:8" ht="26.1" customHeight="1" x14ac:dyDescent="0.3">
      <c r="A55" s="1"/>
      <c r="B55" s="47" t="s">
        <v>71</v>
      </c>
      <c r="C55" s="47"/>
      <c r="D55" s="49">
        <v>1</v>
      </c>
      <c r="E55" s="52">
        <v>728.91</v>
      </c>
      <c r="F55" s="52"/>
      <c r="G55" s="52">
        <v>728.91</v>
      </c>
      <c r="H55" s="32"/>
    </row>
    <row r="56" spans="1:8" ht="26.1" customHeight="1" x14ac:dyDescent="0.3">
      <c r="A56" s="1"/>
      <c r="B56" s="47" t="s">
        <v>72</v>
      </c>
      <c r="C56" s="47"/>
      <c r="D56" s="49">
        <v>1</v>
      </c>
      <c r="E56" s="50">
        <v>54.942</v>
      </c>
      <c r="F56" s="51"/>
      <c r="G56" s="50">
        <v>54.942</v>
      </c>
      <c r="H56" s="32"/>
    </row>
    <row r="57" spans="1:8" ht="26.1" customHeight="1" x14ac:dyDescent="0.3">
      <c r="A57" s="1"/>
      <c r="B57" s="47" t="s">
        <v>73</v>
      </c>
      <c r="C57" s="47"/>
      <c r="D57" s="49">
        <v>1</v>
      </c>
      <c r="E57" s="50">
        <v>105.294</v>
      </c>
      <c r="F57" s="51"/>
      <c r="G57" s="50">
        <v>105.294</v>
      </c>
      <c r="H57" s="32"/>
    </row>
    <row r="58" spans="1:8" ht="26.1" customHeight="1" x14ac:dyDescent="0.3">
      <c r="A58" s="1"/>
      <c r="B58" s="47" t="s">
        <v>74</v>
      </c>
      <c r="C58" s="47"/>
      <c r="D58" s="49">
        <v>1</v>
      </c>
      <c r="E58" s="50">
        <v>728.91</v>
      </c>
      <c r="F58" s="51"/>
      <c r="G58" s="50">
        <v>728.91</v>
      </c>
      <c r="H58" s="32"/>
    </row>
    <row r="59" spans="1:8" ht="26.1" customHeight="1" x14ac:dyDescent="0.3">
      <c r="A59" s="1"/>
      <c r="B59" s="47"/>
      <c r="C59" s="47"/>
      <c r="D59" s="49"/>
      <c r="E59" s="50"/>
      <c r="F59" s="51"/>
      <c r="G59" s="50" t="str">
        <f>IFERROR(IF(SimpleInvoice[[#This Row],[Unit price]]="","",(SimpleInvoice[[#This Row],[Qty]]*SimpleInvoice[[#This Row],[Unit price]])-SimpleInvoice[[#This Row],[Discount]]),"")</f>
        <v/>
      </c>
      <c r="H59" s="32"/>
    </row>
    <row r="60" spans="1:8" ht="26.1" customHeight="1" x14ac:dyDescent="0.3">
      <c r="A60" s="1"/>
      <c r="B60" s="47"/>
      <c r="C60" s="47"/>
      <c r="D60" s="49"/>
      <c r="E60" s="50"/>
      <c r="F60" s="51"/>
      <c r="G60" s="50" t="str">
        <f>IFERROR(IF(SimpleInvoice[[#This Row],[Unit price]]="","",(SimpleInvoice[[#This Row],[Qty]]*SimpleInvoice[[#This Row],[Unit price]])-SimpleInvoice[[#This Row],[Discount]]),"")</f>
        <v/>
      </c>
      <c r="H60" s="32"/>
    </row>
    <row r="61" spans="1:8" ht="26.1" customHeight="1" x14ac:dyDescent="0.3">
      <c r="A61" s="1"/>
      <c r="B61" s="33"/>
      <c r="C61" s="33"/>
      <c r="D61" s="14"/>
      <c r="E61" s="14"/>
      <c r="F61" s="34" t="s">
        <v>1</v>
      </c>
      <c r="G61" s="61">
        <f>SUM(SimpleInvoice[Price])</f>
        <v>35538.907400000011</v>
      </c>
      <c r="H61" s="32"/>
    </row>
    <row r="62" spans="1:8" ht="26.1" customHeight="1" x14ac:dyDescent="0.3">
      <c r="A62" s="1"/>
      <c r="B62" s="33"/>
      <c r="C62" s="33"/>
      <c r="D62" s="14"/>
      <c r="E62" s="14"/>
      <c r="F62" s="34" t="s">
        <v>2</v>
      </c>
      <c r="G62" s="61">
        <v>3400.7541000000001</v>
      </c>
      <c r="H62" s="32"/>
    </row>
    <row r="63" spans="1:8" ht="26.1" customHeight="1" x14ac:dyDescent="0.3">
      <c r="A63" s="1"/>
      <c r="B63" s="33"/>
      <c r="C63" s="33"/>
      <c r="D63" s="14"/>
      <c r="E63" s="14"/>
      <c r="F63" s="34" t="s">
        <v>75</v>
      </c>
      <c r="G63" s="53">
        <v>1062.7356</v>
      </c>
      <c r="H63" s="32"/>
    </row>
    <row r="64" spans="1:8" ht="26.1" customHeight="1" x14ac:dyDescent="0.3">
      <c r="A64" s="1"/>
      <c r="B64" s="35"/>
      <c r="C64" s="35"/>
      <c r="D64" s="35"/>
      <c r="E64" s="36"/>
      <c r="F64" s="34"/>
      <c r="G64" s="53"/>
      <c r="H64" s="32"/>
    </row>
    <row r="65" spans="1:8" ht="26.1" customHeight="1" x14ac:dyDescent="0.3">
      <c r="A65" s="1"/>
      <c r="B65" s="37"/>
      <c r="C65" s="37"/>
      <c r="D65" s="37"/>
      <c r="E65" s="38"/>
      <c r="F65" s="39" t="s">
        <v>76</v>
      </c>
      <c r="G65" s="54">
        <v>40002.397100000002</v>
      </c>
      <c r="H65" s="17"/>
    </row>
    <row r="66" spans="1:8" ht="50.1" customHeight="1" x14ac:dyDescent="0.3">
      <c r="A66" s="1"/>
      <c r="B66" s="33"/>
      <c r="C66" s="33"/>
      <c r="D66" s="33"/>
      <c r="E66" s="33"/>
      <c r="F66" s="33"/>
      <c r="G66" s="33"/>
      <c r="H66" s="1"/>
    </row>
    <row r="67" spans="1:8" ht="15" customHeight="1" x14ac:dyDescent="0.3">
      <c r="A67" s="1"/>
      <c r="B67" s="56" t="str">
        <f>"Please make all checks payable to " &amp; C2 &amp; IF(C3="",""," " &amp; C3) &amp; "."</f>
        <v>Please make all checks payable to Elegant Embrace.</v>
      </c>
      <c r="C67" s="56"/>
      <c r="D67" s="56"/>
      <c r="E67" s="56"/>
      <c r="F67" s="56"/>
      <c r="G67" s="56"/>
      <c r="H67" s="1"/>
    </row>
    <row r="68" spans="1:8" ht="15" customHeight="1" x14ac:dyDescent="0.3">
      <c r="A68" s="1"/>
      <c r="B68" s="56" t="s">
        <v>13</v>
      </c>
      <c r="C68" s="56"/>
      <c r="D68" s="56"/>
      <c r="E68" s="56"/>
      <c r="F68" s="56"/>
      <c r="G68" s="56"/>
      <c r="H68" s="1"/>
    </row>
    <row r="69" spans="1:8" ht="15.9" customHeight="1" x14ac:dyDescent="0.3">
      <c r="A69" s="1"/>
      <c r="B69" s="56" t="s">
        <v>19</v>
      </c>
      <c r="C69" s="56"/>
      <c r="D69" s="56"/>
      <c r="E69" s="56"/>
      <c r="F69" s="56"/>
      <c r="G69" s="56"/>
      <c r="H69" s="1"/>
    </row>
    <row r="70" spans="1:8" ht="59.1" customHeight="1" x14ac:dyDescent="0.3">
      <c r="A70" s="1"/>
      <c r="B70" s="1"/>
      <c r="C70" s="1"/>
      <c r="D70" s="1"/>
      <c r="E70" s="1"/>
      <c r="F70" s="1"/>
      <c r="G70" s="1"/>
      <c r="H70" s="1"/>
    </row>
  </sheetData>
  <sheetProtection formatCells="0" formatColumns="0" formatRows="0" selectLockedCells="1" sort="0"/>
  <mergeCells count="6">
    <mergeCell ref="C2:D2"/>
    <mergeCell ref="B69:G69"/>
    <mergeCell ref="B67:G67"/>
    <mergeCell ref="B68:G68"/>
    <mergeCell ref="C3:D4"/>
    <mergeCell ref="E8:F8"/>
  </mergeCells>
  <phoneticPr fontId="2" type="noConversion"/>
  <dataValidations xWindow="760" yWindow="637" count="36">
    <dataValidation allowBlank="1" showInputMessage="1" showErrorMessage="1" prompt="The total amount is automatically calculated in this cell" sqref="G65" xr:uid="{00000000-0002-0000-0000-000000000000}"/>
    <dataValidation allowBlank="1" showInputMessage="1" showErrorMessage="1" prompt="Enter the deposit amount, if any" sqref="G64" xr:uid="{00000000-0002-0000-0000-000001000000}"/>
    <dataValidation allowBlank="1" showInputMessage="1" showErrorMessage="1" prompt="The sales tax is automatically calculated in this cell" sqref="G63" xr:uid="{00000000-0002-0000-0000-000003000000}"/>
    <dataValidation allowBlank="1" showInputMessage="1" showErrorMessage="1" prompt="Enter tax rate in this cell" sqref="G62" xr:uid="{00000000-0002-0000-0000-000004000000}"/>
    <dataValidation allowBlank="1" showInputMessage="1" showErrorMessage="1" prompt="The subtotal amount is automatically calculated in this cell" sqref="G61" xr:uid="{00000000-0002-0000-0000-000005000000}"/>
    <dataValidation allowBlank="1" showInputMessage="1" showErrorMessage="1" prompt="Price is auto calculated under this heading" sqref="G13 G25:G46" xr:uid="{00000000-0002-0000-0000-000006000000}"/>
    <dataValidation allowBlank="1" showInputMessage="1" showErrorMessage="1" prompt="Enter Discount in this column under this heading" sqref="F13 F25:F46" xr:uid="{00000000-0002-0000-0000-000007000000}"/>
    <dataValidation allowBlank="1" showInputMessage="1" showErrorMessage="1" prompt="Enter Unit Price in this column under this heading" sqref="E13 E25:E46" xr:uid="{00000000-0002-0000-0000-000008000000}"/>
    <dataValidation allowBlank="1" showInputMessage="1" showErrorMessage="1" prompt="Enter Quantity in this column under this heading" sqref="D13 D25:D46" xr:uid="{00000000-0002-0000-0000-000009000000}"/>
    <dataValidation allowBlank="1" showInputMessage="1" showErrorMessage="1" prompt="Enter Description in this column under this heading" sqref="C13 C25:C46"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E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Update this cell with your company's email address and website" sqref="B69:G69" xr:uid="{B4B0F608-2AB4-49B8-95A2-7208F3B9FDCF}"/>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Replace the number of days in which the balance is due and service charge percent per month in this cell" sqref="B68:G68" xr:uid="{A2CA9311-E750-4E5F-9BEF-8636778AB2B4}"/>
    <dataValidation allowBlank="1" showInputMessage="1" showErrorMessage="1" prompt="Company name is automatically appended in this cell" sqref="B67:G67" xr:uid="{9B688D8E-66C4-4708-A180-A107D02C7D6E}"/>
  </dataValidations>
  <hyperlinks>
    <hyperlink ref="B11" r:id="rId1" xr:uid="{4B8369DD-8A98-B940-AC2E-E2FB20562035}"/>
  </hyperlinks>
  <printOptions horizontalCentered="1"/>
  <pageMargins left="0.25" right="0.25" top="0.75" bottom="0.75" header="0.3" footer="0.3"/>
  <pageSetup scale="82" fitToHeight="0" orientation="portrait" horizontalDpi="300" verticalDpi="300" r:id="rId2"/>
  <headerFooter differentFirst="1" alignWithMargins="0">
    <oddFooter>Page &amp;P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5C5DE4-DDC2-49C6-A326-5A02D73C4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339199-89B4-4D89-B804-0058AC96CA4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3FF0F6D8-810E-4212-9EE6-9586F0C08C2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2023-09-06T10:30:21Z</dcterms:created>
  <dcterms:modified xsi:type="dcterms:W3CDTF">2025-09-21T23:33:34Z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